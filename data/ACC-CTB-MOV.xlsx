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drodrig\dev\BRA-EUR_international-BRA-EUR-2025\data\"/>
    </mc:Choice>
  </mc:AlternateContent>
  <xr:revisionPtr revIDLastSave="0" documentId="13_ncr:1_{DBF29947-5E9D-46EF-B149-647EFCF819A2}" xr6:coauthVersionLast="47" xr6:coauthVersionMax="47" xr10:uidLastSave="{00000000-0000-0000-0000-000000000000}"/>
  <bookViews>
    <workbookView xWindow="4095" yWindow="375" windowWidth="21600" windowHeight="11505" activeTab="1" xr2:uid="{00000000-000D-0000-FFFF-FFFF00000000}"/>
  </bookViews>
  <sheets>
    <sheet name="ACC MOV" sheetId="1" r:id="rId1"/>
    <sheet name="table com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1" l="1"/>
  <c r="P18" i="1"/>
  <c r="P16" i="1"/>
</calcChain>
</file>

<file path=xl/sharedStrings.xml><?xml version="1.0" encoding="utf-8"?>
<sst xmlns="http://schemas.openxmlformats.org/spreadsheetml/2006/main" count="58" uniqueCount="34">
  <si>
    <t>Month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</si>
  <si>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</si>
  <si>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</si>
  <si>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</si>
  <si>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</si>
  <si>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</si>
  <si>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</si>
  <si>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</si>
  <si>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</si>
  <si>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</si>
  <si>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</si>
  <si>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</si>
  <si>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</si>
  <si>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</si>
  <si>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ANSP</t>
  </si>
  <si>
    <t>ACC Name</t>
  </si>
  <si>
    <t>ATCOs in OPS</t>
  </si>
  <si>
    <t>NAV Portugal (Continental)</t>
  </si>
  <si>
    <t>DECEA</t>
  </si>
  <si>
    <t>Curitiba</t>
  </si>
  <si>
    <t>Flight-hours controlled</t>
  </si>
  <si>
    <t>ATCO hours on duty</t>
  </si>
  <si>
    <t>ATCO hours productivity</t>
  </si>
  <si>
    <t>IFR ACC Movements</t>
  </si>
  <si>
    <t>Number of sectors open at maximum configuration</t>
  </si>
  <si>
    <t>Sum of sector-hours</t>
  </si>
  <si>
    <t>2.25</t>
  </si>
  <si>
    <t>Lisbon</t>
  </si>
  <si>
    <t>ACC</t>
  </si>
  <si>
    <t>CTB</t>
  </si>
  <si>
    <t>Size of the controlled area (million km²)</t>
  </si>
  <si>
    <t>Average transit time (min)</t>
  </si>
  <si>
    <t>Size of OPS room area (m²)</t>
  </si>
  <si>
    <t>LISB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</si>
</sst>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/>
    <xf numFmtId="3" fontId="1" fillId="0" borderId="1" xfId="0" applyNumberFormat="1" applyFont="1" applyBorder="1"/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8"/>
  <sheetViews>
    <sheetView workbookViewId="0">
      <selection activeCell="R14" sqref="R14"/>
    </sheetView>
  </sheetViews>
  <sheetFormatPr defaultRowHeight="15" x14ac:dyDescent="0.25"/>
  <sheetData>
    <row r="2" spans="2:17" s="2" customFormat="1" x14ac:dyDescent="0.25">
      <c r="B2" s="3" t="s">
        <v>28</v>
      </c>
      <c r="C2" s="1" t="s">
        <v>0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</v>
      </c>
    </row>
    <row r="3" spans="2:17" x14ac:dyDescent="0.25">
      <c r="B3" s="3" t="s">
        <v>29</v>
      </c>
      <c r="C3" s="1">
        <v>2022</v>
      </c>
      <c r="D3" s="6">
        <v>28957</v>
      </c>
      <c r="E3" s="6">
        <v>25139</v>
      </c>
      <c r="F3" s="6">
        <v>29232</v>
      </c>
      <c r="G3" s="6">
        <v>30163</v>
      </c>
      <c r="H3" s="6">
        <v>32516</v>
      </c>
      <c r="I3" s="6">
        <v>28976</v>
      </c>
      <c r="J3" s="6">
        <v>33822</v>
      </c>
      <c r="K3" s="6">
        <v>32738</v>
      </c>
      <c r="L3" s="6">
        <v>31960</v>
      </c>
      <c r="M3" s="6">
        <v>32410</v>
      </c>
      <c r="N3" s="6">
        <v>32994</v>
      </c>
      <c r="O3" s="6">
        <v>34476</v>
      </c>
      <c r="P3" s="7">
        <v>373383</v>
      </c>
      <c r="Q3" s="12"/>
    </row>
    <row r="4" spans="2:17" x14ac:dyDescent="0.25">
      <c r="B4" s="3" t="s">
        <v>29</v>
      </c>
      <c r="C4" s="1">
        <v>2023</v>
      </c>
      <c r="D4" s="6">
        <v>33991</v>
      </c>
      <c r="E4" s="6">
        <v>28621</v>
      </c>
      <c r="F4" s="6">
        <v>33710</v>
      </c>
      <c r="G4" s="6">
        <v>32570</v>
      </c>
      <c r="H4" s="6">
        <v>34227</v>
      </c>
      <c r="I4" s="6">
        <v>32695</v>
      </c>
      <c r="J4" s="6">
        <v>35170</v>
      </c>
      <c r="K4" s="6">
        <v>35407</v>
      </c>
      <c r="L4" s="6">
        <v>32674</v>
      </c>
      <c r="M4" s="6">
        <v>31274</v>
      </c>
      <c r="N4" s="6">
        <v>31485</v>
      </c>
      <c r="O4" s="6">
        <v>32610</v>
      </c>
      <c r="P4" s="7">
        <v>394434</v>
      </c>
    </row>
    <row r="5" spans="2:17" x14ac:dyDescent="0.25">
      <c r="B5" s="3" t="s">
        <v>29</v>
      </c>
      <c r="C5" s="1">
        <v>2024</v>
      </c>
      <c r="D5" s="6">
        <v>30828</v>
      </c>
      <c r="E5" s="6">
        <v>31284</v>
      </c>
      <c r="F5" s="6">
        <v>43542</v>
      </c>
      <c r="G5" s="6">
        <v>43157</v>
      </c>
      <c r="H5" s="6">
        <v>41800</v>
      </c>
      <c r="I5" s="6">
        <v>39877</v>
      </c>
      <c r="J5" s="6">
        <v>44341</v>
      </c>
      <c r="K5" s="6">
        <v>44643</v>
      </c>
      <c r="L5" s="6">
        <v>41526</v>
      </c>
      <c r="M5" s="6">
        <v>42503</v>
      </c>
      <c r="N5" s="6">
        <v>43733</v>
      </c>
      <c r="O5" s="6">
        <v>45636</v>
      </c>
      <c r="P5" s="7">
        <v>492870</v>
      </c>
    </row>
    <row r="6" spans="2:17" x14ac:dyDescent="0.25">
      <c r="B6" s="3" t="s">
        <v>29</v>
      </c>
      <c r="C6" s="1">
        <v>2025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7"/>
    </row>
    <row r="7" spans="2:17" x14ac:dyDescent="0.25">
      <c r="B7" s="3" t="s">
        <v>29</v>
      </c>
      <c r="C7" s="1">
        <v>2026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7"/>
    </row>
    <row r="8" spans="2:17" x14ac:dyDescent="0.25">
      <c r="B8" s="3" t="s">
        <v>29</v>
      </c>
      <c r="C8" s="1">
        <v>2027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7"/>
    </row>
    <row r="9" spans="2:17" x14ac:dyDescent="0.25">
      <c r="B9" s="3" t="s">
        <v>29</v>
      </c>
      <c r="C9" s="1">
        <v>2028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7"/>
    </row>
    <row r="10" spans="2:17" x14ac:dyDescent="0.25">
      <c r="B10" s="3" t="s">
        <v>29</v>
      </c>
      <c r="C10" s="1">
        <v>2029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7"/>
    </row>
    <row r="11" spans="2:17" x14ac:dyDescent="0.25">
      <c r="B11" s="3" t="s">
        <v>29</v>
      </c>
      <c r="C11" s="1">
        <v>2030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7"/>
    </row>
    <row r="12" spans="2:17" x14ac:dyDescent="0.25">
      <c r="B12" s="3" t="s">
        <v>29</v>
      </c>
      <c r="C12" s="1">
        <v>2031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7"/>
    </row>
    <row r="13" spans="2:17" x14ac:dyDescent="0.25">
      <c r="B13" s="3" t="s">
        <v>29</v>
      </c>
      <c r="C13" s="1">
        <v>2032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7"/>
    </row>
    <row r="14" spans="2:17" x14ac:dyDescent="0.25">
      <c r="B14" s="3" t="s">
        <v>29</v>
      </c>
      <c r="C14" s="1">
        <v>2033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7"/>
    </row>
    <row r="15" spans="2:17" x14ac:dyDescent="0.25">
      <c r="B15" s="3" t="s">
        <v>29</v>
      </c>
      <c r="C15" s="1">
        <v>2034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7"/>
    </row>
    <row r="16" spans="2:17" x14ac:dyDescent="0.25">
      <c r="B16" s="3" t="s">
        <v>33</v>
      </c>
      <c r="C16" s="1">
        <v>2022</v>
      </c>
      <c r="D16" s="6">
        <v>35872</v>
      </c>
      <c r="E16" s="6">
        <v>35098</v>
      </c>
      <c r="F16" s="6">
        <v>43535</v>
      </c>
      <c r="G16" s="6">
        <v>49122</v>
      </c>
      <c r="H16" s="6">
        <v>48336</v>
      </c>
      <c r="I16" s="6">
        <v>49138</v>
      </c>
      <c r="J16" s="6">
        <v>52426</v>
      </c>
      <c r="K16" s="6">
        <v>53141</v>
      </c>
      <c r="L16" s="6">
        <v>50338</v>
      </c>
      <c r="M16" s="6">
        <v>50660</v>
      </c>
      <c r="N16" s="6">
        <v>45189</v>
      </c>
      <c r="O16" s="6">
        <v>48327</v>
      </c>
      <c r="P16" s="7">
        <f>SUM(C16:O16)</f>
        <v>563204</v>
      </c>
    </row>
    <row r="17" spans="2:16" x14ac:dyDescent="0.25">
      <c r="B17" s="3" t="s">
        <v>33</v>
      </c>
      <c r="C17" s="1">
        <v>2023</v>
      </c>
      <c r="D17" s="6">
        <v>46578</v>
      </c>
      <c r="E17" s="6">
        <v>44469</v>
      </c>
      <c r="F17" s="6">
        <v>49873</v>
      </c>
      <c r="G17" s="6">
        <v>51734</v>
      </c>
      <c r="H17" s="6">
        <v>51064</v>
      </c>
      <c r="I17" s="6">
        <v>52315</v>
      </c>
      <c r="J17" s="6">
        <v>56252</v>
      </c>
      <c r="K17" s="6">
        <v>56690</v>
      </c>
      <c r="L17" s="6">
        <v>54224</v>
      </c>
      <c r="M17" s="6">
        <v>56079</v>
      </c>
      <c r="N17" s="6">
        <v>49491</v>
      </c>
      <c r="O17" s="6">
        <v>52527</v>
      </c>
      <c r="P17" s="7">
        <f t="shared" ref="P17:P18" si="0">SUM(C17:O17)</f>
        <v>623319</v>
      </c>
    </row>
    <row r="18" spans="2:16" x14ac:dyDescent="0.25">
      <c r="B18" s="3" t="s">
        <v>33</v>
      </c>
      <c r="C18" s="1">
        <v>2024</v>
      </c>
      <c r="D18" s="6">
        <v>49325</v>
      </c>
      <c r="E18" s="6">
        <v>48495</v>
      </c>
      <c r="F18" s="6">
        <v>55549</v>
      </c>
      <c r="G18" s="6">
        <v>55746</v>
      </c>
      <c r="H18" s="6">
        <v>56322</v>
      </c>
      <c r="I18" s="6">
        <v>56498</v>
      </c>
      <c r="J18" s="6">
        <v>60650</v>
      </c>
      <c r="K18" s="6">
        <v>60763</v>
      </c>
      <c r="L18" s="6">
        <v>57808</v>
      </c>
      <c r="M18" s="6">
        <v>59171</v>
      </c>
      <c r="N18" s="6">
        <v>53257</v>
      </c>
      <c r="O18" s="6">
        <v>55491</v>
      </c>
      <c r="P18" s="7">
        <f t="shared" si="0"/>
        <v>671099</v>
      </c>
    </row>
    <row r="19" spans="2:16" x14ac:dyDescent="0.25">
      <c r="B19" s="3" t="s">
        <v>33</v>
      </c>
      <c r="C19" s="1">
        <v>2025</v>
      </c>
    </row>
    <row r="20" spans="2:16" x14ac:dyDescent="0.25">
      <c r="B20" s="3" t="s">
        <v>33</v>
      </c>
      <c r="C20" s="1">
        <v>2026</v>
      </c>
    </row>
    <row r="21" spans="2:16" x14ac:dyDescent="0.25">
      <c r="B21" s="3" t="s">
        <v>33</v>
      </c>
      <c r="C21" s="1">
        <v>2027</v>
      </c>
    </row>
    <row r="22" spans="2:16" x14ac:dyDescent="0.25">
      <c r="B22" s="3" t="s">
        <v>33</v>
      </c>
      <c r="C22" s="1">
        <v>2028</v>
      </c>
    </row>
    <row r="23" spans="2:16" x14ac:dyDescent="0.25">
      <c r="B23" s="3" t="s">
        <v>33</v>
      </c>
      <c r="C23" s="1">
        <v>2029</v>
      </c>
    </row>
    <row r="24" spans="2:16" x14ac:dyDescent="0.25">
      <c r="B24" s="3" t="s">
        <v>33</v>
      </c>
      <c r="C24" s="1">
        <v>2030</v>
      </c>
    </row>
    <row r="25" spans="2:16" x14ac:dyDescent="0.25">
      <c r="B25" s="3" t="s">
        <v>33</v>
      </c>
      <c r="C25" s="1">
        <v>2031</v>
      </c>
    </row>
    <row r="26" spans="2:16" x14ac:dyDescent="0.25">
      <c r="B26" s="3" t="s">
        <v>33</v>
      </c>
      <c r="C26" s="1">
        <v>2032</v>
      </c>
    </row>
    <row r="27" spans="2:16" x14ac:dyDescent="0.25">
      <c r="B27" s="3" t="s">
        <v>33</v>
      </c>
      <c r="C27" s="1">
        <v>2033</v>
      </c>
    </row>
    <row r="28" spans="2:16" x14ac:dyDescent="0.25">
      <c r="B28" s="3" t="s">
        <v>33</v>
      </c>
      <c r="C28" s="1">
        <v>2034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73E89-76ED-436A-B0AC-F60CCFCA1F22}">
  <dimension ref="B2:M4"/>
  <sheetViews>
    <sheetView tabSelected="1" workbookViewId="0">
      <selection activeCell="B2" sqref="B2:M4"/>
    </sheetView>
  </sheetViews>
  <sheetFormatPr defaultColWidth="15.5703125" defaultRowHeight="15" x14ac:dyDescent="0.25"/>
  <cols>
    <col min="1" max="2" width="15.5703125" style="4"/>
    <col min="3" max="3" width="10.28515625" style="4" bestFit="1" customWidth="1"/>
    <col min="4" max="4" width="11.7109375" style="4" bestFit="1" customWidth="1"/>
    <col min="5" max="5" width="14.140625" style="4" hidden="1" customWidth="1"/>
    <col min="6" max="6" width="11.7109375" style="4" hidden="1" customWidth="1"/>
    <col min="7" max="7" width="15.140625" style="4" bestFit="1" customWidth="1"/>
    <col min="8" max="8" width="11.7109375" style="4" bestFit="1" customWidth="1"/>
    <col min="9" max="9" width="15.85546875" style="4" customWidth="1"/>
    <col min="10" max="10" width="12.85546875" style="4" bestFit="1" customWidth="1"/>
    <col min="11" max="11" width="14.7109375" style="4" bestFit="1" customWidth="1"/>
    <col min="12" max="12" width="14.5703125" style="4" bestFit="1" customWidth="1"/>
    <col min="13" max="13" width="13.85546875" style="4" bestFit="1" customWidth="1"/>
    <col min="14" max="16384" width="15.5703125" style="4"/>
  </cols>
  <sheetData>
    <row r="2" spans="2:13" s="11" customFormat="1" ht="60" x14ac:dyDescent="0.25">
      <c r="B2" s="5" t="s">
        <v>14</v>
      </c>
      <c r="C2" s="5" t="s">
        <v>15</v>
      </c>
      <c r="D2" s="5" t="s">
        <v>20</v>
      </c>
      <c r="E2" s="5" t="s">
        <v>21</v>
      </c>
      <c r="F2" s="5" t="s">
        <v>22</v>
      </c>
      <c r="G2" s="5" t="s">
        <v>31</v>
      </c>
      <c r="H2" s="5" t="s">
        <v>23</v>
      </c>
      <c r="I2" s="5" t="s">
        <v>30</v>
      </c>
      <c r="J2" s="5" t="s">
        <v>16</v>
      </c>
      <c r="K2" s="5" t="s">
        <v>32</v>
      </c>
      <c r="L2" s="5" t="s">
        <v>24</v>
      </c>
      <c r="M2" s="5" t="s">
        <v>25</v>
      </c>
    </row>
    <row r="3" spans="2:13" x14ac:dyDescent="0.25">
      <c r="B3" s="5" t="s">
        <v>18</v>
      </c>
      <c r="C3" s="8" t="s">
        <v>19</v>
      </c>
      <c r="D3" s="9">
        <v>462470</v>
      </c>
      <c r="E3" s="9">
        <v>188038</v>
      </c>
      <c r="F3" s="10">
        <v>0.53690000000000004</v>
      </c>
      <c r="G3" s="8">
        <v>18.100000000000001</v>
      </c>
      <c r="H3" s="9">
        <v>492870</v>
      </c>
      <c r="I3" s="8">
        <v>1.7</v>
      </c>
      <c r="J3" s="8">
        <v>208</v>
      </c>
      <c r="K3" s="8">
        <v>405</v>
      </c>
      <c r="L3" s="8">
        <v>13</v>
      </c>
      <c r="M3" s="9">
        <v>45606</v>
      </c>
    </row>
    <row r="4" spans="2:13" ht="30" x14ac:dyDescent="0.25">
      <c r="B4" s="5" t="s">
        <v>17</v>
      </c>
      <c r="C4" s="8" t="s">
        <v>27</v>
      </c>
      <c r="D4" s="9">
        <v>345602</v>
      </c>
      <c r="E4" s="9">
        <v>153644</v>
      </c>
      <c r="F4" s="8" t="s">
        <v>26</v>
      </c>
      <c r="G4" s="8">
        <v>37</v>
      </c>
      <c r="H4" s="9">
        <v>560992</v>
      </c>
      <c r="I4" s="8">
        <v>0.67100000000000004</v>
      </c>
      <c r="J4" s="8">
        <v>71</v>
      </c>
      <c r="K4" s="8">
        <v>663</v>
      </c>
      <c r="L4" s="8">
        <v>9</v>
      </c>
      <c r="M4" s="9">
        <v>47147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 MOV</vt:lpstr>
      <vt:lpstr>table 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DOMINGOS RODRIGUES Rafael (EXT)</dc:creator>
  <cp:lastModifiedBy>MJ Domingos (SDOP)</cp:lastModifiedBy>
  <dcterms:created xsi:type="dcterms:W3CDTF">2025-04-17T11:54:44Z</dcterms:created>
  <dcterms:modified xsi:type="dcterms:W3CDTF">2025-06-02T10:39:05Z</dcterms:modified>
</cp:coreProperties>
</file>