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drodrig\dev\BRA-EUR_international-BRA-EUR-2025\data\"/>
    </mc:Choice>
  </mc:AlternateContent>
  <xr:revisionPtr revIDLastSave="0" documentId="13_ncr:1_{068CA6D2-6171-414B-B0E0-C1BE6DBB2091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data" sheetId="1" r:id="rId1"/>
    <sheet name="rep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1" i="1"/>
  <c r="J12" i="1"/>
  <c r="J13" i="1"/>
  <c r="C23" i="2"/>
  <c r="D23" i="2"/>
  <c r="F23" i="2"/>
  <c r="G23" i="2"/>
  <c r="H23" i="2"/>
  <c r="G9" i="2"/>
  <c r="F9" i="2"/>
  <c r="J2" i="1"/>
  <c r="B23" i="2"/>
  <c r="C26" i="2"/>
  <c r="B26" i="2"/>
</calcChain>
</file>

<file path=xl/sharedStrings.xml><?xml version="1.0" encoding="utf-8"?>
<sst xmlns="http://schemas.openxmlformats.org/spreadsheetml/2006/main" count="95" uniqueCount="57">
  <si>
    <t>geographic area (non-oceanic, million km²)</t>
  </si>
  <si>
    <t>number of en-route ANSPs</t>
  </si>
  <si>
    <t>number of TWR</t>
  </si>
  <si>
    <t>number of APP</t>
  </si>
  <si>
    <t>number of ACC</t>
  </si>
  <si>
    <t>number of ATCOs in OPS</t>
  </si>
  <si>
    <t>controlled flights</t>
  </si>
  <si>
    <t>flights/ATCO</t>
  </si>
  <si>
    <t>traffic density (non-oceanic, flights/km²)</t>
  </si>
  <si>
    <t>Brazil 2019</t>
  </si>
  <si>
    <t>Brazil 2023</t>
  </si>
  <si>
    <t>Europe 2019</t>
  </si>
  <si>
    <t>Europe 2023</t>
  </si>
  <si>
    <t>Brazil/Europe 2019</t>
  </si>
  <si>
    <t>Brazil/Europe 2023</t>
  </si>
  <si>
    <t>74%</t>
  </si>
  <si>
    <t>single provider vs multiple</t>
  </si>
  <si>
    <t>57 + 1 DTWR</t>
  </si>
  <si>
    <t>17.8%</t>
  </si>
  <si>
    <t>22.2%</t>
  </si>
  <si>
    <t>14.6%</t>
  </si>
  <si>
    <t>19.5%</t>
  </si>
  <si>
    <t>81.5%</t>
  </si>
  <si>
    <t>87.8%</t>
  </si>
  <si>
    <t>20%</t>
  </si>
  <si>
    <t>26.6%</t>
  </si>
  <si>
    <t>Brazil 2024</t>
  </si>
  <si>
    <t>Europe 2024</t>
  </si>
  <si>
    <t>Brazil/Europe 2024</t>
  </si>
  <si>
    <t>Brazil/Europe 2025</t>
  </si>
  <si>
    <t>Brazil/Europe 2026</t>
  </si>
  <si>
    <t>Brazil/Europe 2027</t>
  </si>
  <si>
    <t>KPA</t>
  </si>
  <si>
    <t>traffic density                          (non-oceanic, flights/km²)</t>
  </si>
  <si>
    <t>ATS facilities mostly unchanged</t>
  </si>
  <si>
    <t>Region</t>
  </si>
  <si>
    <t>Year</t>
  </si>
  <si>
    <t>Brazil</t>
  </si>
  <si>
    <t>Europe</t>
  </si>
  <si>
    <t>n/a</t>
  </si>
  <si>
    <t>Notes:</t>
  </si>
  <si>
    <t>ECAC area</t>
  </si>
  <si>
    <t>the time series excludes Ukraine, Georgia, Serbia, Canary Islands &amp; Oceanic areas</t>
  </si>
  <si>
    <t>excludes Ukraine, Georgia, Serbia</t>
  </si>
  <si>
    <t>excludes Ukraine, Georgia, Serbia, Canary Islands &amp; Oceanic</t>
  </si>
  <si>
    <r>
      <t xml:space="preserve">geographic area                     (non-oceanic, million km²) </t>
    </r>
    <r>
      <rPr>
        <b/>
        <vertAlign val="superscript"/>
        <sz val="11"/>
        <color theme="0"/>
        <rFont val="Calibri"/>
        <family val="2"/>
        <scheme val="minor"/>
      </rPr>
      <t>1</t>
    </r>
  </si>
  <si>
    <r>
      <t xml:space="preserve">number of en-route    ANSPs </t>
    </r>
    <r>
      <rPr>
        <b/>
        <vertAlign val="superscript"/>
        <sz val="11"/>
        <color theme="0"/>
        <rFont val="Calibri"/>
        <family val="2"/>
        <scheme val="minor"/>
      </rPr>
      <t>2</t>
    </r>
  </si>
  <si>
    <r>
      <t xml:space="preserve">number of TWR </t>
    </r>
    <r>
      <rPr>
        <b/>
        <vertAlign val="superscript"/>
        <sz val="11"/>
        <color theme="0"/>
        <rFont val="Calibri"/>
        <family val="2"/>
        <scheme val="minor"/>
      </rPr>
      <t>3</t>
    </r>
  </si>
  <si>
    <r>
      <t xml:space="preserve">number of APP </t>
    </r>
    <r>
      <rPr>
        <b/>
        <vertAlign val="superscript"/>
        <sz val="11"/>
        <color theme="0"/>
        <rFont val="Calibri"/>
        <family val="2"/>
        <scheme val="minor"/>
      </rPr>
      <t>3</t>
    </r>
  </si>
  <si>
    <r>
      <t xml:space="preserve">number of ACC </t>
    </r>
    <r>
      <rPr>
        <b/>
        <vertAlign val="superscript"/>
        <sz val="11"/>
        <color theme="0"/>
        <rFont val="Calibri"/>
        <family val="2"/>
        <scheme val="minor"/>
      </rPr>
      <t>3</t>
    </r>
  </si>
  <si>
    <r>
      <t xml:space="preserve">number of ATCOs in OPS </t>
    </r>
    <r>
      <rPr>
        <b/>
        <vertAlign val="superscript"/>
        <sz val="11"/>
        <color theme="0"/>
        <rFont val="Calibri"/>
        <family val="2"/>
        <scheme val="minor"/>
      </rPr>
      <t>3</t>
    </r>
  </si>
  <si>
    <r>
      <t xml:space="preserve">controlled flights </t>
    </r>
    <r>
      <rPr>
        <b/>
        <vertAlign val="superscript"/>
        <sz val="11"/>
        <color theme="0"/>
        <rFont val="Calibri"/>
        <family val="2"/>
        <scheme val="minor"/>
      </rPr>
      <t>4</t>
    </r>
  </si>
  <si>
    <t>Europe: c.f ACE report</t>
  </si>
  <si>
    <t>2 excludes Ukraine, Georgia, Serbia</t>
  </si>
  <si>
    <t>3 excludes Ukraine, Georgia, Serbia, Canary Islands &amp; Oceanic</t>
  </si>
  <si>
    <t>4 ECAC area</t>
  </si>
  <si>
    <t>1 excludes Ukraine, Georgia, Serbia, Canary Islands &amp; Oceanic 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</si>
</sst>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sz val="12"/>
      <color theme="1"/>
      <name val="Aptos"/>
      <family val="2"/>
    </font>
    <font>
      <i/>
      <sz val="10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" fontId="0" fillId="0" borderId="1" xfId="0" applyNumberFormat="1" applyBorder="1"/>
    <xf numFmtId="0" fontId="1" fillId="0" borderId="1" xfId="0" applyFont="1" applyBorder="1"/>
    <xf numFmtId="0" fontId="0" fillId="0" borderId="1" xfId="0" applyFont="1" applyBorder="1"/>
    <xf numFmtId="3" fontId="0" fillId="0" borderId="1" xfId="0" applyNumberFormat="1" applyBorder="1"/>
    <xf numFmtId="3" fontId="4" fillId="0" borderId="1" xfId="0" applyNumberFormat="1" applyFont="1" applyBorder="1"/>
    <xf numFmtId="3" fontId="4" fillId="0" borderId="2" xfId="0" applyNumberFormat="1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3" fontId="4" fillId="0" borderId="6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3" fontId="4" fillId="0" borderId="8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3" fontId="4" fillId="0" borderId="9" xfId="0" applyNumberFormat="1" applyFont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3" fontId="4" fillId="3" borderId="11" xfId="0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9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0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2" xfId="0" applyFont="1" applyBorder="1" applyAlignment="1">
      <alignment vertical="center" wrapText="1"/>
    </xf>
    <xf numFmtId="0" fontId="8" fillId="0" borderId="4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4" xfId="0" applyFont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workbookViewId="0">
      <selection activeCell="C14" sqref="C14"/>
    </sheetView>
  </sheetViews>
  <sheetFormatPr defaultRowHeight="15" x14ac:dyDescent="0.25"/>
  <cols>
    <col min="2" max="2" width="17.7109375" bestFit="1" customWidth="1"/>
    <col min="3" max="3" width="39.85546875" bestFit="1" customWidth="1"/>
    <col min="4" max="4" width="25.140625" bestFit="1" customWidth="1"/>
    <col min="5" max="5" width="15" bestFit="1" customWidth="1"/>
    <col min="6" max="6" width="15.5703125" bestFit="1" customWidth="1"/>
    <col min="7" max="7" width="14.42578125" bestFit="1" customWidth="1"/>
    <col min="8" max="8" width="23" bestFit="1" customWidth="1"/>
    <col min="9" max="9" width="16.28515625" bestFit="1" customWidth="1"/>
    <col min="10" max="10" width="12.28515625" bestFit="1" customWidth="1"/>
    <col min="11" max="11" width="37.7109375" bestFit="1" customWidth="1"/>
  </cols>
  <sheetData>
    <row r="1" spans="1:11" x14ac:dyDescent="0.25">
      <c r="A1" s="18" t="s">
        <v>35</v>
      </c>
      <c r="B1" s="1" t="s">
        <v>36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5">
      <c r="A2" s="19" t="s">
        <v>37</v>
      </c>
      <c r="B2" s="2">
        <v>2019</v>
      </c>
      <c r="C2" s="2">
        <v>8.5</v>
      </c>
      <c r="D2" s="2">
        <v>1</v>
      </c>
      <c r="E2" s="2">
        <v>59</v>
      </c>
      <c r="F2" s="20">
        <v>43</v>
      </c>
      <c r="G2" s="20">
        <v>5</v>
      </c>
      <c r="H2" s="20">
        <v>3126</v>
      </c>
      <c r="I2" s="20">
        <v>1594442</v>
      </c>
      <c r="J2" s="17">
        <f>I2/H2</f>
        <v>510.05822136916186</v>
      </c>
      <c r="K2" s="2">
        <v>0.187</v>
      </c>
    </row>
    <row r="3" spans="1:11" x14ac:dyDescent="0.25">
      <c r="A3" s="19" t="s">
        <v>37</v>
      </c>
      <c r="B3" s="2">
        <v>2023</v>
      </c>
      <c r="C3" s="2">
        <v>8.5</v>
      </c>
      <c r="D3" s="2">
        <v>1</v>
      </c>
      <c r="E3" s="2" t="s">
        <v>17</v>
      </c>
      <c r="F3" s="20">
        <v>41</v>
      </c>
      <c r="G3" s="20">
        <v>5</v>
      </c>
      <c r="H3" s="20">
        <v>3677</v>
      </c>
      <c r="I3" s="20">
        <v>1801109</v>
      </c>
      <c r="J3" s="17">
        <f t="shared" ref="J3:J13" si="0">I3/H3</f>
        <v>489.83111231982593</v>
      </c>
      <c r="K3" s="2">
        <v>0.21199999999999999</v>
      </c>
    </row>
    <row r="4" spans="1:11" x14ac:dyDescent="0.25">
      <c r="A4" s="19" t="s">
        <v>37</v>
      </c>
      <c r="B4" s="2">
        <v>2024</v>
      </c>
      <c r="C4" s="2">
        <v>8.5</v>
      </c>
      <c r="D4" s="2">
        <v>1</v>
      </c>
      <c r="E4" s="2" t="s">
        <v>17</v>
      </c>
      <c r="F4" s="20">
        <v>41</v>
      </c>
      <c r="G4" s="20">
        <v>5</v>
      </c>
      <c r="H4" s="20">
        <v>3890</v>
      </c>
      <c r="I4" s="20">
        <v>1935139</v>
      </c>
      <c r="J4" s="17">
        <f t="shared" si="0"/>
        <v>497.4650385604113</v>
      </c>
      <c r="K4" s="2"/>
    </row>
    <row r="5" spans="1:11" x14ac:dyDescent="0.25">
      <c r="A5" s="19" t="s">
        <v>37</v>
      </c>
      <c r="B5" s="2">
        <v>2025</v>
      </c>
      <c r="C5" s="2"/>
      <c r="D5" s="2"/>
      <c r="E5" s="2"/>
      <c r="F5" s="20"/>
      <c r="G5" s="20"/>
      <c r="H5" s="20"/>
      <c r="I5" s="20"/>
      <c r="J5" s="17" t="e">
        <f t="shared" si="0"/>
        <v>#DIV/0!</v>
      </c>
      <c r="K5" s="2"/>
    </row>
    <row r="6" spans="1:11" x14ac:dyDescent="0.25">
      <c r="A6" s="19" t="s">
        <v>37</v>
      </c>
      <c r="B6" s="2">
        <v>2026</v>
      </c>
      <c r="C6" s="2"/>
      <c r="D6" s="2"/>
      <c r="E6" s="2"/>
      <c r="F6" s="20"/>
      <c r="G6" s="20"/>
      <c r="H6" s="20"/>
      <c r="I6" s="20"/>
      <c r="J6" s="17" t="e">
        <f t="shared" si="0"/>
        <v>#DIV/0!</v>
      </c>
      <c r="K6" s="2"/>
    </row>
    <row r="7" spans="1:11" x14ac:dyDescent="0.25">
      <c r="A7" s="19" t="s">
        <v>37</v>
      </c>
      <c r="B7" s="2">
        <v>2027</v>
      </c>
      <c r="C7" s="2"/>
      <c r="D7" s="2"/>
      <c r="E7" s="2"/>
      <c r="F7" s="20"/>
      <c r="G7" s="20"/>
      <c r="H7" s="20"/>
      <c r="I7" s="20"/>
      <c r="J7" s="17" t="e">
        <f t="shared" si="0"/>
        <v>#DIV/0!</v>
      </c>
      <c r="K7" s="2"/>
    </row>
    <row r="8" spans="1:11" x14ac:dyDescent="0.25">
      <c r="A8" s="19" t="s">
        <v>38</v>
      </c>
      <c r="B8" s="2">
        <v>2019</v>
      </c>
      <c r="C8" s="2">
        <v>10.9</v>
      </c>
      <c r="D8" s="2">
        <v>37</v>
      </c>
      <c r="E8" s="2">
        <v>382</v>
      </c>
      <c r="F8" s="20">
        <v>262</v>
      </c>
      <c r="G8" s="20">
        <v>57</v>
      </c>
      <c r="H8" s="20">
        <v>16870</v>
      </c>
      <c r="I8" s="20">
        <v>11085302</v>
      </c>
      <c r="J8" s="17">
        <f t="shared" si="0"/>
        <v>657.10148192056909</v>
      </c>
      <c r="K8" s="2">
        <v>0.95599999999999996</v>
      </c>
    </row>
    <row r="9" spans="1:11" x14ac:dyDescent="0.25">
      <c r="A9" s="19" t="s">
        <v>38</v>
      </c>
      <c r="B9" s="2">
        <v>2023</v>
      </c>
      <c r="C9" s="2">
        <v>10.9</v>
      </c>
      <c r="D9" s="2">
        <v>37</v>
      </c>
      <c r="E9" s="2">
        <v>375</v>
      </c>
      <c r="F9" s="20">
        <v>268</v>
      </c>
      <c r="G9" s="20">
        <v>57</v>
      </c>
      <c r="H9" s="20">
        <v>16973</v>
      </c>
      <c r="I9" s="20">
        <v>10144258</v>
      </c>
      <c r="J9" s="17">
        <f t="shared" si="0"/>
        <v>597.67029988805746</v>
      </c>
      <c r="K9" s="2">
        <v>0.8</v>
      </c>
    </row>
    <row r="10" spans="1:11" x14ac:dyDescent="0.25">
      <c r="A10" s="19" t="s">
        <v>38</v>
      </c>
      <c r="B10" s="2">
        <v>2024</v>
      </c>
      <c r="C10" s="2">
        <v>10.9</v>
      </c>
      <c r="D10" s="2">
        <v>37</v>
      </c>
      <c r="E10" s="2" t="s">
        <v>39</v>
      </c>
      <c r="F10" s="20" t="s">
        <v>39</v>
      </c>
      <c r="G10" s="20">
        <v>57</v>
      </c>
      <c r="H10" s="20" t="s">
        <v>39</v>
      </c>
      <c r="I10" s="20">
        <v>10633991</v>
      </c>
      <c r="J10" s="17" t="s">
        <v>39</v>
      </c>
      <c r="K10" s="2"/>
    </row>
    <row r="11" spans="1:11" x14ac:dyDescent="0.25">
      <c r="A11" s="19" t="s">
        <v>38</v>
      </c>
      <c r="B11" s="2">
        <v>2025</v>
      </c>
      <c r="C11" s="2"/>
      <c r="D11" s="2"/>
      <c r="E11" s="2"/>
      <c r="F11" s="20"/>
      <c r="G11" s="20"/>
      <c r="H11" s="20"/>
      <c r="I11" s="20"/>
      <c r="J11" s="17" t="e">
        <f t="shared" si="0"/>
        <v>#DIV/0!</v>
      </c>
      <c r="K11" s="2"/>
    </row>
    <row r="12" spans="1:11" x14ac:dyDescent="0.25">
      <c r="A12" s="19" t="s">
        <v>38</v>
      </c>
      <c r="B12" s="2">
        <v>2026</v>
      </c>
      <c r="C12" s="2"/>
      <c r="D12" s="2"/>
      <c r="E12" s="2"/>
      <c r="F12" s="20"/>
      <c r="G12" s="20"/>
      <c r="H12" s="20"/>
      <c r="I12" s="20"/>
      <c r="J12" s="17" t="e">
        <f t="shared" si="0"/>
        <v>#DIV/0!</v>
      </c>
      <c r="K12" s="2"/>
    </row>
    <row r="13" spans="1:11" x14ac:dyDescent="0.25">
      <c r="A13" s="19"/>
      <c r="B13" s="2">
        <v>2027</v>
      </c>
      <c r="C13" s="2"/>
      <c r="D13" s="2"/>
      <c r="E13" s="2"/>
      <c r="F13" s="20"/>
      <c r="G13" s="20"/>
      <c r="H13" s="20"/>
      <c r="I13" s="20"/>
      <c r="J13" s="17" t="e">
        <f t="shared" si="0"/>
        <v>#DIV/0!</v>
      </c>
      <c r="K13" s="2"/>
    </row>
    <row r="14" spans="1:11" x14ac:dyDescent="0.25">
      <c r="B14" s="2" t="s">
        <v>13</v>
      </c>
      <c r="C14" s="2" t="s">
        <v>15</v>
      </c>
      <c r="D14" s="2" t="s">
        <v>16</v>
      </c>
      <c r="E14" s="2"/>
      <c r="F14" s="2"/>
      <c r="G14" s="2"/>
      <c r="H14" s="2" t="s">
        <v>18</v>
      </c>
      <c r="I14" s="2" t="s">
        <v>20</v>
      </c>
      <c r="J14" s="2" t="s">
        <v>22</v>
      </c>
      <c r="K14" s="2" t="s">
        <v>24</v>
      </c>
    </row>
    <row r="15" spans="1:11" x14ac:dyDescent="0.25">
      <c r="B15" s="2" t="s">
        <v>14</v>
      </c>
      <c r="C15" s="2" t="s">
        <v>15</v>
      </c>
      <c r="D15" s="2" t="s">
        <v>16</v>
      </c>
      <c r="E15" s="2"/>
      <c r="F15" s="2"/>
      <c r="G15" s="2"/>
      <c r="H15" s="2" t="s">
        <v>19</v>
      </c>
      <c r="I15" s="2" t="s">
        <v>21</v>
      </c>
      <c r="J15" s="2" t="s">
        <v>23</v>
      </c>
      <c r="K15" s="2" t="s">
        <v>25</v>
      </c>
    </row>
    <row r="16" spans="1:11" x14ac:dyDescent="0.25">
      <c r="B16" s="2" t="s">
        <v>28</v>
      </c>
      <c r="C16" s="2"/>
      <c r="D16" s="2"/>
      <c r="E16" s="2"/>
      <c r="F16" s="2"/>
      <c r="G16" s="2"/>
      <c r="H16" s="2"/>
      <c r="I16" s="2"/>
      <c r="J16" s="2"/>
      <c r="K16" s="2"/>
    </row>
    <row r="17" spans="2:11" x14ac:dyDescent="0.25">
      <c r="B17" s="2" t="s">
        <v>29</v>
      </c>
      <c r="C17" s="2"/>
      <c r="D17" s="2"/>
      <c r="E17" s="2"/>
      <c r="F17" s="2"/>
      <c r="G17" s="2"/>
      <c r="H17" s="2"/>
      <c r="I17" s="2"/>
      <c r="J17" s="2"/>
      <c r="K17" s="2"/>
    </row>
    <row r="18" spans="2:11" x14ac:dyDescent="0.25">
      <c r="B18" s="2" t="s">
        <v>30</v>
      </c>
      <c r="C18" s="2"/>
      <c r="D18" s="2"/>
      <c r="E18" s="2"/>
      <c r="F18" s="2"/>
      <c r="G18" s="2"/>
      <c r="H18" s="2"/>
      <c r="I18" s="2"/>
      <c r="J18" s="2"/>
      <c r="K18" s="2"/>
    </row>
    <row r="19" spans="2:11" x14ac:dyDescent="0.25">
      <c r="B19" s="2" t="s">
        <v>31</v>
      </c>
      <c r="C19" s="2"/>
      <c r="D19" s="2"/>
      <c r="E19" s="2"/>
      <c r="F19" s="2"/>
      <c r="G19" s="2"/>
      <c r="H19" s="2"/>
      <c r="I19" s="2"/>
      <c r="J19" s="2"/>
      <c r="K19" s="2"/>
    </row>
    <row r="24" spans="2:11" x14ac:dyDescent="0.25">
      <c r="H24" s="42"/>
      <c r="I24" s="42"/>
      <c r="J24" s="4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8844F-D22B-4B72-9970-833A5419D72B}">
  <sheetPr>
    <pageSetUpPr fitToPage="1"/>
  </sheetPr>
  <dimension ref="A1:K36"/>
  <sheetViews>
    <sheetView tabSelected="1" workbookViewId="0">
      <selection activeCell="J19" sqref="J19"/>
    </sheetView>
  </sheetViews>
  <sheetFormatPr defaultRowHeight="15" x14ac:dyDescent="0.25"/>
  <cols>
    <col min="1" max="1" width="27.28515625" style="3" customWidth="1"/>
    <col min="2" max="2" width="9.140625" style="3" customWidth="1"/>
    <col min="3" max="4" width="9.28515625" style="3" bestFit="1" customWidth="1"/>
    <col min="5" max="5" width="0.7109375" style="26" customWidth="1"/>
    <col min="6" max="6" width="10.140625" style="3" customWidth="1"/>
    <col min="7" max="8" width="10.140625" style="3" bestFit="1" customWidth="1"/>
    <col min="9" max="9" width="10.140625" style="3" customWidth="1"/>
    <col min="10" max="13" width="15.140625" style="3" customWidth="1"/>
    <col min="14" max="16384" width="9.140625" style="3"/>
  </cols>
  <sheetData>
    <row r="1" spans="1:11" ht="38.25" customHeight="1" x14ac:dyDescent="0.25">
      <c r="A1" s="4" t="s">
        <v>32</v>
      </c>
      <c r="B1" s="4" t="s">
        <v>9</v>
      </c>
      <c r="C1" s="4" t="s">
        <v>10</v>
      </c>
      <c r="D1" s="4" t="s">
        <v>26</v>
      </c>
      <c r="E1" s="25"/>
      <c r="F1" s="4" t="s">
        <v>11</v>
      </c>
      <c r="G1" s="4" t="s">
        <v>12</v>
      </c>
      <c r="H1" s="4" t="s">
        <v>27</v>
      </c>
      <c r="I1" s="25"/>
      <c r="J1" s="4" t="s">
        <v>13</v>
      </c>
      <c r="K1" s="4" t="s">
        <v>28</v>
      </c>
    </row>
    <row r="2" spans="1:11" ht="47.25" x14ac:dyDescent="0.25">
      <c r="A2" s="5" t="s">
        <v>45</v>
      </c>
      <c r="B2" s="8">
        <v>8.5</v>
      </c>
      <c r="C2" s="8">
        <v>8.5</v>
      </c>
      <c r="D2" s="27">
        <v>8.5</v>
      </c>
      <c r="E2" s="31"/>
      <c r="F2" s="29">
        <v>10.9</v>
      </c>
      <c r="G2" s="8">
        <v>10.9</v>
      </c>
      <c r="H2" s="8">
        <v>10.9</v>
      </c>
      <c r="I2" s="8"/>
      <c r="J2" s="10">
        <v>0.74</v>
      </c>
      <c r="K2" s="10">
        <v>0.74</v>
      </c>
    </row>
    <row r="3" spans="1:11" ht="30" x14ac:dyDescent="0.25">
      <c r="A3" s="5" t="s">
        <v>46</v>
      </c>
      <c r="B3" s="9">
        <v>1</v>
      </c>
      <c r="C3" s="9">
        <v>1</v>
      </c>
      <c r="D3" s="28">
        <v>1</v>
      </c>
      <c r="E3" s="32"/>
      <c r="F3" s="30">
        <v>37</v>
      </c>
      <c r="G3" s="9">
        <v>37</v>
      </c>
      <c r="H3" s="9">
        <v>37</v>
      </c>
      <c r="I3" s="9"/>
      <c r="J3" s="8" t="s">
        <v>16</v>
      </c>
      <c r="K3" s="8" t="s">
        <v>16</v>
      </c>
    </row>
    <row r="4" spans="1:11" ht="30" x14ac:dyDescent="0.25">
      <c r="A4" s="5" t="s">
        <v>47</v>
      </c>
      <c r="B4" s="9">
        <v>59</v>
      </c>
      <c r="C4" s="9" t="s">
        <v>17</v>
      </c>
      <c r="D4" s="28" t="s">
        <v>17</v>
      </c>
      <c r="E4" s="32"/>
      <c r="F4" s="30">
        <v>382</v>
      </c>
      <c r="G4" s="9">
        <v>375</v>
      </c>
      <c r="H4" s="9" t="s">
        <v>39</v>
      </c>
      <c r="I4" s="22"/>
      <c r="J4" s="11" t="s">
        <v>34</v>
      </c>
      <c r="K4" s="12"/>
    </row>
    <row r="5" spans="1:11" ht="17.25" x14ac:dyDescent="0.25">
      <c r="A5" s="5" t="s">
        <v>48</v>
      </c>
      <c r="B5" s="9">
        <v>43</v>
      </c>
      <c r="C5" s="9">
        <v>41</v>
      </c>
      <c r="D5" s="28">
        <v>41</v>
      </c>
      <c r="E5" s="32"/>
      <c r="F5" s="30">
        <v>262</v>
      </c>
      <c r="G5" s="9">
        <v>268</v>
      </c>
      <c r="H5" s="9" t="s">
        <v>39</v>
      </c>
      <c r="I5" s="23"/>
      <c r="J5" s="13"/>
      <c r="K5" s="14"/>
    </row>
    <row r="6" spans="1:11" ht="17.25" x14ac:dyDescent="0.25">
      <c r="A6" s="5" t="s">
        <v>49</v>
      </c>
      <c r="B6" s="9">
        <v>5</v>
      </c>
      <c r="C6" s="9">
        <v>5</v>
      </c>
      <c r="D6" s="28">
        <v>5</v>
      </c>
      <c r="E6" s="32"/>
      <c r="F6" s="30">
        <v>57</v>
      </c>
      <c r="G6" s="9">
        <v>57</v>
      </c>
      <c r="H6" s="9">
        <v>57</v>
      </c>
      <c r="I6" s="24"/>
      <c r="J6" s="15"/>
      <c r="K6" s="16"/>
    </row>
    <row r="7" spans="1:11" ht="17.25" x14ac:dyDescent="0.25">
      <c r="A7" s="5" t="s">
        <v>50</v>
      </c>
      <c r="B7" s="9">
        <v>3126</v>
      </c>
      <c r="C7" s="21">
        <v>3677</v>
      </c>
      <c r="D7" s="28">
        <v>3890</v>
      </c>
      <c r="E7" s="32"/>
      <c r="F7" s="30">
        <v>16870</v>
      </c>
      <c r="G7" s="9">
        <v>16973</v>
      </c>
      <c r="H7" s="9" t="s">
        <v>39</v>
      </c>
      <c r="I7" s="9"/>
      <c r="J7" s="6" t="s">
        <v>18</v>
      </c>
      <c r="K7" s="6" t="s">
        <v>19</v>
      </c>
    </row>
    <row r="8" spans="1:11" ht="17.25" x14ac:dyDescent="0.25">
      <c r="A8" s="5" t="s">
        <v>51</v>
      </c>
      <c r="B8" s="9">
        <v>1594442</v>
      </c>
      <c r="C8" s="21">
        <v>1801109</v>
      </c>
      <c r="D8" s="28">
        <v>1935139</v>
      </c>
      <c r="E8" s="32"/>
      <c r="F8" s="30">
        <v>11085302</v>
      </c>
      <c r="G8" s="9">
        <v>10144258</v>
      </c>
      <c r="H8" s="9">
        <v>10633991</v>
      </c>
      <c r="I8" s="9"/>
      <c r="J8" s="6" t="s">
        <v>20</v>
      </c>
      <c r="K8" s="6" t="s">
        <v>21</v>
      </c>
    </row>
    <row r="9" spans="1:11" x14ac:dyDescent="0.25">
      <c r="A9" s="5" t="s">
        <v>7</v>
      </c>
      <c r="B9" s="9">
        <v>510</v>
      </c>
      <c r="C9" s="9">
        <v>490</v>
      </c>
      <c r="D9" s="28">
        <v>497</v>
      </c>
      <c r="E9" s="32"/>
      <c r="F9" s="30">
        <f>F8/F7</f>
        <v>657.10148192056909</v>
      </c>
      <c r="G9" s="9">
        <f>G8/G7</f>
        <v>597.67029988805746</v>
      </c>
      <c r="H9" s="9" t="s">
        <v>39</v>
      </c>
      <c r="I9" s="9"/>
      <c r="J9" s="6" t="s">
        <v>22</v>
      </c>
      <c r="K9" s="6" t="s">
        <v>23</v>
      </c>
    </row>
    <row r="10" spans="1:11" ht="30" x14ac:dyDescent="0.25">
      <c r="A10" s="5" t="s">
        <v>33</v>
      </c>
      <c r="B10" s="8">
        <v>0.187</v>
      </c>
      <c r="C10" s="8">
        <v>0.21099999999999999</v>
      </c>
      <c r="D10" s="27">
        <v>0.22700000000000001</v>
      </c>
      <c r="E10" s="33"/>
      <c r="F10" s="29">
        <v>1.0169999999999999</v>
      </c>
      <c r="G10" s="8">
        <v>0.93</v>
      </c>
      <c r="H10" s="8">
        <v>0.97599999999999998</v>
      </c>
      <c r="I10" s="8"/>
      <c r="J10" s="7">
        <v>0.2</v>
      </c>
      <c r="K10" s="6" t="s">
        <v>25</v>
      </c>
    </row>
    <row r="11" spans="1:11" ht="15" customHeight="1" x14ac:dyDescent="0.25">
      <c r="A11" s="43" t="s">
        <v>40</v>
      </c>
      <c r="B11" s="49" t="s">
        <v>52</v>
      </c>
      <c r="C11" s="44"/>
      <c r="D11" s="44"/>
      <c r="E11" s="44"/>
      <c r="F11" s="44"/>
      <c r="G11" s="44"/>
      <c r="H11" s="45"/>
      <c r="I11" s="34"/>
      <c r="J11" s="35"/>
      <c r="K11" s="36"/>
    </row>
    <row r="12" spans="1:11" x14ac:dyDescent="0.25">
      <c r="A12" s="43"/>
      <c r="B12" s="53" t="s">
        <v>56</v>
      </c>
      <c r="C12" s="54"/>
      <c r="D12" s="54"/>
      <c r="E12" s="54"/>
      <c r="F12" s="54"/>
      <c r="G12" s="54"/>
      <c r="H12" s="55"/>
      <c r="I12" s="34"/>
      <c r="J12" s="35"/>
      <c r="K12" s="36"/>
    </row>
    <row r="13" spans="1:11" x14ac:dyDescent="0.25">
      <c r="A13" s="43"/>
      <c r="B13" s="50" t="s">
        <v>53</v>
      </c>
      <c r="C13" s="46"/>
      <c r="D13" s="46"/>
      <c r="E13" s="46"/>
      <c r="F13" s="46"/>
      <c r="G13" s="46"/>
      <c r="H13" s="47"/>
      <c r="I13" s="34"/>
      <c r="J13" s="35"/>
      <c r="K13" s="36"/>
    </row>
    <row r="14" spans="1:11" x14ac:dyDescent="0.25">
      <c r="A14" s="43"/>
      <c r="B14" s="50" t="s">
        <v>54</v>
      </c>
      <c r="C14" s="46"/>
      <c r="D14" s="46"/>
      <c r="E14" s="46"/>
      <c r="F14" s="46"/>
      <c r="G14" s="46"/>
      <c r="H14" s="47"/>
      <c r="I14" s="34"/>
      <c r="J14" s="35"/>
      <c r="K14" s="36"/>
    </row>
    <row r="15" spans="1:11" x14ac:dyDescent="0.25">
      <c r="A15" s="43"/>
      <c r="B15" s="51" t="s">
        <v>55</v>
      </c>
      <c r="C15" s="48"/>
      <c r="D15" s="48"/>
      <c r="E15" s="48"/>
      <c r="F15" s="48"/>
      <c r="G15" s="48"/>
      <c r="H15" s="52"/>
      <c r="I15" s="34"/>
      <c r="J15" s="35"/>
      <c r="K15" s="36"/>
    </row>
    <row r="16" spans="1:11" ht="15.75" x14ac:dyDescent="0.25">
      <c r="B16" s="34"/>
      <c r="C16" s="41"/>
      <c r="D16" s="41"/>
      <c r="E16" s="41"/>
      <c r="F16" s="41"/>
      <c r="G16" s="41"/>
      <c r="H16" s="40"/>
      <c r="I16" s="34"/>
      <c r="J16" s="35"/>
      <c r="K16" s="36"/>
    </row>
    <row r="17" spans="1:11" ht="15.75" x14ac:dyDescent="0.25">
      <c r="B17" s="34"/>
      <c r="C17" s="41"/>
      <c r="D17" s="41"/>
      <c r="E17" s="41"/>
      <c r="F17" s="41"/>
      <c r="G17" s="41"/>
      <c r="H17" s="40"/>
      <c r="I17" s="34"/>
      <c r="J17" s="35"/>
      <c r="K17" s="36"/>
    </row>
    <row r="18" spans="1:11" ht="15.75" x14ac:dyDescent="0.25">
      <c r="A18" s="37"/>
      <c r="B18" s="34"/>
      <c r="C18" s="41"/>
      <c r="D18" s="41"/>
      <c r="E18" s="41"/>
      <c r="F18" s="41"/>
      <c r="G18" s="41"/>
      <c r="H18" s="40"/>
      <c r="I18" s="34"/>
      <c r="J18" s="35"/>
      <c r="K18" s="36"/>
    </row>
    <row r="19" spans="1:11" ht="15.75" x14ac:dyDescent="0.25">
      <c r="A19" s="37"/>
      <c r="B19" s="34"/>
      <c r="C19" s="41"/>
      <c r="D19" s="41"/>
      <c r="E19" s="41"/>
      <c r="F19" s="41"/>
      <c r="G19" s="41"/>
      <c r="H19" s="40"/>
      <c r="I19" s="34"/>
      <c r="J19" s="35"/>
      <c r="K19" s="36"/>
    </row>
    <row r="21" spans="1:11" x14ac:dyDescent="0.25">
      <c r="A21" s="3" t="s">
        <v>40</v>
      </c>
    </row>
    <row r="23" spans="1:11" x14ac:dyDescent="0.25">
      <c r="B23" s="3">
        <f>(B8/B2)/1000000</f>
        <v>0.18758141176470589</v>
      </c>
      <c r="C23" s="3">
        <f>(C8/C2)/1000000</f>
        <v>0.21189517647058823</v>
      </c>
      <c r="D23" s="3">
        <f t="shared" ref="D23:H23" si="0">(D8/D2)/1000000</f>
        <v>0.22766341176470586</v>
      </c>
      <c r="F23" s="3">
        <f t="shared" si="0"/>
        <v>1.0170001834862386</v>
      </c>
      <c r="G23" s="3">
        <f t="shared" si="0"/>
        <v>0.93066587155963298</v>
      </c>
      <c r="H23" s="3">
        <f t="shared" si="0"/>
        <v>0.97559550458715594</v>
      </c>
    </row>
    <row r="26" spans="1:11" x14ac:dyDescent="0.25">
      <c r="B26" s="3">
        <f>B8/B7</f>
        <v>510.05822136916186</v>
      </c>
      <c r="C26" s="3">
        <f>C8/C7</f>
        <v>489.83111231982593</v>
      </c>
    </row>
    <row r="29" spans="1:11" ht="15.75" x14ac:dyDescent="0.2">
      <c r="C29" s="38" t="s">
        <v>41</v>
      </c>
      <c r="D29" s="39"/>
      <c r="E29" s="39"/>
      <c r="F29" s="39"/>
      <c r="G29" s="39"/>
      <c r="H29" s="40"/>
    </row>
    <row r="30" spans="1:11" x14ac:dyDescent="0.25">
      <c r="C30" s="41" t="s">
        <v>42</v>
      </c>
      <c r="D30" s="41"/>
      <c r="E30" s="41"/>
      <c r="F30" s="41"/>
      <c r="G30" s="41"/>
      <c r="H30" s="41"/>
    </row>
    <row r="31" spans="1:11" ht="15.75" x14ac:dyDescent="0.2">
      <c r="C31" s="41" t="s">
        <v>43</v>
      </c>
      <c r="D31" s="41"/>
      <c r="E31" s="41"/>
      <c r="F31" s="39"/>
      <c r="G31" s="39"/>
      <c r="H31" s="40"/>
    </row>
    <row r="32" spans="1:11" ht="15.75" x14ac:dyDescent="0.25">
      <c r="C32" s="41" t="s">
        <v>44</v>
      </c>
      <c r="D32" s="41"/>
      <c r="E32" s="41"/>
      <c r="F32" s="41"/>
      <c r="G32" s="41"/>
      <c r="H32" s="40"/>
    </row>
    <row r="33" spans="3:8" ht="15.75" x14ac:dyDescent="0.25">
      <c r="C33" s="41" t="s">
        <v>44</v>
      </c>
      <c r="D33" s="41"/>
      <c r="E33" s="41"/>
      <c r="F33" s="41"/>
      <c r="G33" s="41"/>
      <c r="H33" s="40"/>
    </row>
    <row r="34" spans="3:8" ht="15.75" x14ac:dyDescent="0.25">
      <c r="C34" s="41" t="s">
        <v>44</v>
      </c>
      <c r="D34" s="41"/>
      <c r="E34" s="41"/>
      <c r="F34" s="41"/>
      <c r="G34" s="41"/>
      <c r="H34" s="40"/>
    </row>
    <row r="35" spans="3:8" ht="15.75" x14ac:dyDescent="0.25">
      <c r="C35" s="41" t="s">
        <v>44</v>
      </c>
      <c r="D35" s="41"/>
      <c r="E35" s="41"/>
      <c r="F35" s="41"/>
      <c r="G35" s="41"/>
      <c r="H35" s="40"/>
    </row>
    <row r="36" spans="3:8" ht="15.75" x14ac:dyDescent="0.25">
      <c r="C36" s="41" t="s">
        <v>44</v>
      </c>
      <c r="D36" s="41"/>
      <c r="E36" s="41"/>
      <c r="F36" s="41"/>
      <c r="G36" s="41"/>
      <c r="H36" s="40"/>
    </row>
  </sheetData>
  <mergeCells count="18">
    <mergeCell ref="B11:H11"/>
    <mergeCell ref="A11:A15"/>
    <mergeCell ref="B12:H12"/>
    <mergeCell ref="B13:H13"/>
    <mergeCell ref="B14:H14"/>
    <mergeCell ref="B15:H15"/>
    <mergeCell ref="C35:G35"/>
    <mergeCell ref="C36:G36"/>
    <mergeCell ref="C30:H30"/>
    <mergeCell ref="C31:E31"/>
    <mergeCell ref="C32:G32"/>
    <mergeCell ref="C33:G33"/>
    <mergeCell ref="C34:G34"/>
    <mergeCell ref="C17:G17"/>
    <mergeCell ref="C18:G18"/>
    <mergeCell ref="C19:G19"/>
    <mergeCell ref="C16:G16"/>
    <mergeCell ref="J4:K6"/>
  </mergeCells>
  <pageMargins left="0.7" right="0.7" top="0.75" bottom="0.75" header="0.3" footer="0.3"/>
  <pageSetup paperSize="9"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DOMINGOS RODRIGUES Rafael (EXT)</dc:creator>
  <cp:lastModifiedBy>MJ Domingos (SDOP)</cp:lastModifiedBy>
  <cp:lastPrinted>2025-04-24T14:36:23Z</cp:lastPrinted>
  <dcterms:created xsi:type="dcterms:W3CDTF">2025-04-17T12:50:10Z</dcterms:created>
  <dcterms:modified xsi:type="dcterms:W3CDTF">2025-04-24T15:28:03Z</dcterms:modified>
</cp:coreProperties>
</file>